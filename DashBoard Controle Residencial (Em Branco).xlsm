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K:\Contas Residencia\"/>
    </mc:Choice>
  </mc:AlternateContent>
  <xr:revisionPtr revIDLastSave="0" documentId="13_ncr:1_{7D8B4EE8-6B20-48D2-82A4-1DE08D93C8F4}" xr6:coauthVersionLast="45" xr6:coauthVersionMax="45" xr10:uidLastSave="{00000000-0000-0000-0000-000000000000}"/>
  <bookViews>
    <workbookView xWindow="-120" yWindow="-120" windowWidth="38640" windowHeight="16440" xr2:uid="{9DE27C68-8DC1-44B7-B396-57795DBC4E76}"/>
  </bookViews>
  <sheets>
    <sheet name="Entrada" sheetId="4" r:id="rId1"/>
    <sheet name="Banco_de_Dados" sheetId="1" r:id="rId2"/>
    <sheet name="Auxiliar" sheetId="2" r:id="rId3"/>
    <sheet name="DashBoard" sheetId="3" r:id="rId4"/>
  </sheets>
  <definedNames>
    <definedName name="Ano">Auxiliar!$C$2</definedName>
    <definedName name="indiano">Auxiliar!#REF!</definedName>
    <definedName name="indiceAno">Auxiliar!$B$2</definedName>
    <definedName name="indiceContas">Auxiliar!$A$20:$A$31</definedName>
    <definedName name="indiceMes">Auxiliar!$D$2</definedName>
    <definedName name="indiMes">Auxiliar!#REF!</definedName>
    <definedName name="listaAno">Auxiliar!#REF!</definedName>
    <definedName name="listaAnos">Auxiliar!$A$6:$A$17</definedName>
    <definedName name="listaContas">Auxiliar!$E$20:$F$31</definedName>
    <definedName name="listaMes">Auxiliar!#REF!</definedName>
    <definedName name="listaMeses">Auxiliar!$C$6:$C$17</definedName>
    <definedName name="Mes">Auxiliar!$E$2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G2" i="1" l="1"/>
  <c r="F2" i="1"/>
  <c r="G23" i="2" l="1"/>
  <c r="G27" i="2"/>
  <c r="G31" i="2"/>
  <c r="G21" i="2"/>
  <c r="G22" i="2"/>
  <c r="G30" i="2"/>
  <c r="G24" i="2"/>
  <c r="G28" i="2"/>
  <c r="G20" i="2"/>
  <c r="G25" i="2"/>
  <c r="G29" i="2"/>
  <c r="G26" i="2"/>
  <c r="E2" i="2"/>
  <c r="C2" i="2" l="1"/>
  <c r="D7" i="2" l="1"/>
  <c r="D8" i="2"/>
  <c r="D12" i="2"/>
  <c r="D16" i="2"/>
  <c r="D13" i="2"/>
  <c r="D17" i="2"/>
  <c r="D9" i="2"/>
  <c r="D10" i="2"/>
  <c r="D14" i="2"/>
  <c r="D6" i="2"/>
  <c r="D11" i="2"/>
  <c r="D15" i="2"/>
  <c r="G9" i="2"/>
  <c r="I9" i="2"/>
  <c r="G32" i="2" l="1"/>
</calcChain>
</file>

<file path=xl/sharedStrings.xml><?xml version="1.0" encoding="utf-8"?>
<sst xmlns="http://schemas.openxmlformats.org/spreadsheetml/2006/main" count="64" uniqueCount="43">
  <si>
    <t>Data</t>
  </si>
  <si>
    <t>Valor</t>
  </si>
  <si>
    <t xml:space="preserve">Mês </t>
  </si>
  <si>
    <t>Ano</t>
  </si>
  <si>
    <t>Agua</t>
  </si>
  <si>
    <t>Luz</t>
  </si>
  <si>
    <t>Faculdade</t>
  </si>
  <si>
    <t>Cartão</t>
  </si>
  <si>
    <t>Mercado</t>
  </si>
  <si>
    <t>Previdencia Privada</t>
  </si>
  <si>
    <t>Índice</t>
  </si>
  <si>
    <t>Mês</t>
  </si>
  <si>
    <t>Abril</t>
  </si>
  <si>
    <t>Anos</t>
  </si>
  <si>
    <t>Meses</t>
  </si>
  <si>
    <t>Janeiro</t>
  </si>
  <si>
    <t>Fevereiro</t>
  </si>
  <si>
    <t>Março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</si>
  <si>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</si>
  <si>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</si>
  <si>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</si>
  <si>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</si>
  <si>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</si>
  <si>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</si>
  <si>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</si>
  <si>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</si>
  <si>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Valores (R$)</t>
  </si>
  <si>
    <t>Valores Mensais</t>
  </si>
  <si>
    <t>Tipos de Despesa</t>
  </si>
  <si>
    <t>Internet</t>
  </si>
  <si>
    <t>Pet</t>
  </si>
  <si>
    <t>Celular</t>
  </si>
  <si>
    <t>Dentista</t>
  </si>
  <si>
    <t>Outros</t>
  </si>
  <si>
    <t>Tipo</t>
  </si>
  <si>
    <t>Inss</t>
  </si>
  <si>
    <t>Valor por Tipo de Despesa (R$)</t>
  </si>
  <si>
    <t>Total</t>
  </si>
  <si>
    <t>Controle Residencial de Gastos</t>
  </si>
  <si>
    <t>Sabesp</t>
  </si>
  <si>
    <t>Total ID</t>
  </si>
  <si>
    <t>Descrição Serviço</t>
  </si>
  <si>
    <t>Cadastro de Contas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</si>
</sst>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2" borderId="0" xfId="0" applyFill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2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/>
    </xf>
    <xf numFmtId="1" fontId="0" fillId="0" borderId="0" xfId="0" applyNumberFormat="1" applyAlignment="1">
      <alignment horizontal="center" vertical="center"/>
    </xf>
    <xf numFmtId="0" fontId="0" fillId="6" borderId="0" xfId="0" applyFill="1"/>
    <xf numFmtId="0" fontId="10" fillId="6" borderId="0" xfId="0" applyFont="1" applyFill="1"/>
    <xf numFmtId="164" fontId="9" fillId="4" borderId="1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1" fontId="9" fillId="4" borderId="5" xfId="0" applyNumberFormat="1" applyFont="1" applyFill="1" applyBorder="1" applyAlignment="1">
      <alignment horizontal="center" vertical="center"/>
    </xf>
    <xf numFmtId="1" fontId="9" fillId="4" borderId="3" xfId="0" applyNumberFormat="1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14" fontId="9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164" fontId="0" fillId="5" borderId="1" xfId="0" applyNumberForma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4" fontId="0" fillId="5" borderId="2" xfId="0" applyNumberFormat="1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5" fillId="6" borderId="0" xfId="0" applyFont="1" applyFill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R$&quot;\ #,##0.00"/>
    </dxf>
    <dxf>
      <alignment horizontal="center" vertical="center" textRotation="0" wrapText="0" indent="0" justifyLastLine="0" shrinkToFit="0" readingOrder="0"/>
    </dxf>
    <dxf>
      <numFmt numFmtId="19" formatCode="dd/mm/yyyy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Auxiliar!$I$9</c:f>
          <c:strCache>
            <c:ptCount val="1"/>
            <c:pt idx="0">
              <c:v>2020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2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Auxiliar!$C$6:$C$17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Auxiliar!$D$6:$D$17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E8-4787-8F0D-842D29C9F69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Auxiliar!$C$6:$C$17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Auxiliar!$E$6:$E$17</c:f>
              <c:numCache>
                <c:formatCode>"R$"\ 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39E8-4787-8F0D-842D29C9F69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93995576"/>
        <c:axId val="693996888"/>
      </c:barChart>
      <c:catAx>
        <c:axId val="693995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3996888"/>
        <c:crosses val="autoZero"/>
        <c:auto val="1"/>
        <c:lblAlgn val="ctr"/>
        <c:lblOffset val="100"/>
        <c:noMultiLvlLbl val="0"/>
      </c:catAx>
      <c:valAx>
        <c:axId val="693996888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69399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strRef>
          <c:f>[0]!Mes</c:f>
          <c:strCache>
            <c:ptCount val="1"/>
            <c:pt idx="0">
              <c:v>Abril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Auxiliar!$E$20:$E$31</c:f>
              <c:strCache>
                <c:ptCount val="12"/>
                <c:pt idx="0">
                  <c:v>Agua</c:v>
                </c:pt>
                <c:pt idx="1">
                  <c:v>Luz</c:v>
                </c:pt>
                <c:pt idx="2">
                  <c:v>Internet</c:v>
                </c:pt>
                <c:pt idx="3">
                  <c:v>Celular</c:v>
                </c:pt>
                <c:pt idx="4">
                  <c:v>Pet</c:v>
                </c:pt>
                <c:pt idx="5">
                  <c:v>Dentista</c:v>
                </c:pt>
                <c:pt idx="6">
                  <c:v>Faculdade</c:v>
                </c:pt>
                <c:pt idx="7">
                  <c:v>Mercado</c:v>
                </c:pt>
                <c:pt idx="8">
                  <c:v>Cartão</c:v>
                </c:pt>
                <c:pt idx="9">
                  <c:v>Inss</c:v>
                </c:pt>
                <c:pt idx="10">
                  <c:v>Previdencia Privada</c:v>
                </c:pt>
                <c:pt idx="11">
                  <c:v>Outros</c:v>
                </c:pt>
              </c:strCache>
            </c:strRef>
          </c:cat>
          <c:val>
            <c:numRef>
              <c:f>Auxiliar!$G$20:$G$31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12-4698-8EBA-AC3A0B8C8F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26144944"/>
        <c:axId val="5261456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5">
                      <a:shade val="65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Auxiliar!$E$20:$E$31</c15:sqref>
                        </c15:formulaRef>
                      </c:ext>
                    </c:extLst>
                    <c:strCache>
                      <c:ptCount val="12"/>
                      <c:pt idx="0">
                        <c:v>Agua</c:v>
                      </c:pt>
                      <c:pt idx="1">
                        <c:v>Luz</c:v>
                      </c:pt>
                      <c:pt idx="2">
                        <c:v>Internet</c:v>
                      </c:pt>
                      <c:pt idx="3">
                        <c:v>Celular</c:v>
                      </c:pt>
                      <c:pt idx="4">
                        <c:v>Pet</c:v>
                      </c:pt>
                      <c:pt idx="5">
                        <c:v>Dentista</c:v>
                      </c:pt>
                      <c:pt idx="6">
                        <c:v>Faculdade</c:v>
                      </c:pt>
                      <c:pt idx="7">
                        <c:v>Mercado</c:v>
                      </c:pt>
                      <c:pt idx="8">
                        <c:v>Cartão</c:v>
                      </c:pt>
                      <c:pt idx="9">
                        <c:v>Inss</c:v>
                      </c:pt>
                      <c:pt idx="10">
                        <c:v>Previdencia Privada</c:v>
                      </c:pt>
                      <c:pt idx="11">
                        <c:v>Outros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Auxiliar!$F$20:$F$31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412-4698-8EBA-AC3A0B8C8F2B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5">
                      <a:tint val="65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Auxiliar!$E$20:$E$31</c15:sqref>
                        </c15:formulaRef>
                      </c:ext>
                    </c:extLst>
                    <c:strCache>
                      <c:ptCount val="12"/>
                      <c:pt idx="0">
                        <c:v>Agua</c:v>
                      </c:pt>
                      <c:pt idx="1">
                        <c:v>Luz</c:v>
                      </c:pt>
                      <c:pt idx="2">
                        <c:v>Internet</c:v>
                      </c:pt>
                      <c:pt idx="3">
                        <c:v>Celular</c:v>
                      </c:pt>
                      <c:pt idx="4">
                        <c:v>Pet</c:v>
                      </c:pt>
                      <c:pt idx="5">
                        <c:v>Dentista</c:v>
                      </c:pt>
                      <c:pt idx="6">
                        <c:v>Faculdade</c:v>
                      </c:pt>
                      <c:pt idx="7">
                        <c:v>Mercado</c:v>
                      </c:pt>
                      <c:pt idx="8">
                        <c:v>Cartão</c:v>
                      </c:pt>
                      <c:pt idx="9">
                        <c:v>Inss</c:v>
                      </c:pt>
                      <c:pt idx="10">
                        <c:v>Previdencia Privada</c:v>
                      </c:pt>
                      <c:pt idx="11">
                        <c:v>Outros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Auxiliar!$H$20:$H$31</c15:sqref>
                        </c15:formulaRef>
                      </c:ext>
                    </c:extLst>
                    <c:numCache>
                      <c:formatCode>"R$"\ #,##0.00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412-4698-8EBA-AC3A0B8C8F2B}"/>
                  </c:ext>
                </c:extLst>
              </c15:ser>
            </c15:filteredBarSeries>
          </c:ext>
        </c:extLst>
      </c:barChart>
      <c:catAx>
        <c:axId val="52614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145600"/>
        <c:crosses val="autoZero"/>
        <c:auto val="1"/>
        <c:lblAlgn val="ctr"/>
        <c:lblOffset val="100"/>
        <c:noMultiLvlLbl val="0"/>
      </c:catAx>
      <c:valAx>
        <c:axId val="526145600"/>
        <c:scaling>
          <c:orientation val="minMax"/>
        </c:scaling>
        <c:delete val="0"/>
        <c:axPos val="b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14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Auxiliar!$B$2" fmlaRange="Auxiliar!$A$6:$A$8" noThreeD="1" sel="2" val="0"/>
</file>

<file path=xl/ctrlProps/ctrlProp2.xml><?xml version="1.0" encoding="utf-8"?>
<formControlPr xmlns="http://schemas.microsoft.com/office/spreadsheetml/2009/9/main" objectType="Drop" dropStyle="combo" dx="22" fmlaLink="Auxiliar!$D$2" fmlaRange="Auxiliar!$C$6:$C$17" noThreeD="1" sel="4" val="2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53578</xdr:colOff>
      <xdr:row>8</xdr:row>
      <xdr:rowOff>18709</xdr:rowOff>
    </xdr:from>
    <xdr:to>
      <xdr:col>1</xdr:col>
      <xdr:colOff>1209675</xdr:colOff>
      <xdr:row>9</xdr:row>
      <xdr:rowOff>6803</xdr:rowOff>
    </xdr:to>
    <xdr:sp macro="[0]!Adcionar_Formulario_Banco_de_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37399" y="1746816"/>
          <a:ext cx="1156097" cy="178594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Cadastrar</a:t>
          </a:r>
        </a:p>
      </xdr:txBody>
    </xdr:sp>
    <xdr:clientData/>
  </xdr:twoCellAnchor>
  <xdr:twoCellAnchor>
    <xdr:from>
      <xdr:col>2</xdr:col>
      <xdr:colOff>160734</xdr:colOff>
      <xdr:row>8</xdr:row>
      <xdr:rowOff>18006</xdr:rowOff>
    </xdr:from>
    <xdr:to>
      <xdr:col>4</xdr:col>
      <xdr:colOff>91691</xdr:colOff>
      <xdr:row>9</xdr:row>
      <xdr:rowOff>7506</xdr:rowOff>
    </xdr:to>
    <xdr:sp macro="[0]!Limpar_Cadastro_Serviç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5591" y="1746113"/>
          <a:ext cx="1155600" cy="180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 b="1">
              <a:solidFill>
                <a:schemeClr val="tx1"/>
              </a:solidFill>
              <a:latin typeface="+mn-lt"/>
              <a:ea typeface="+mn-ea"/>
              <a:cs typeface="+mn-cs"/>
            </a:rPr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28575</xdr:rowOff>
        </xdr:from>
        <xdr:to>
          <xdr:col>16</xdr:col>
          <xdr:colOff>600075</xdr:colOff>
          <xdr:row>1</xdr:row>
          <xdr:rowOff>28575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28575</xdr:rowOff>
        </xdr:from>
        <xdr:to>
          <xdr:col>15</xdr:col>
          <xdr:colOff>314325</xdr:colOff>
          <xdr:row>1</xdr:row>
          <xdr:rowOff>19050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9526</xdr:rowOff>
    </xdr:from>
    <xdr:to>
      <xdr:col>16</xdr:col>
      <xdr:colOff>590550</xdr:colOff>
      <xdr:row>20</xdr:row>
      <xdr:rowOff>95250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22225</xdr:rowOff>
    </xdr:from>
    <xdr:to>
      <xdr:col>16</xdr:col>
      <xdr:colOff>590550</xdr:colOff>
      <xdr:row>39</xdr:row>
      <xdr:rowOff>28574</xdr:rowOff>
    </xdr:to>
    <xdr:graphicFrame macro="">
      <xdr:nvGraphicFramePr>
        <xdr:cNvPr id="3" name="Gráfico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418CBE-86C2-469D-970A-48A3D0C2A7C1}" name="banco_de_dados" displayName="banco_de_dados" ref="A1:G3" totalsRowShown="0" headerRowDxfId="7" dataDxfId="6">
  <autoFilter ref="A1:G3" xr:uid="{D8F21F09-7496-4600-ABBB-7A5F9B7781C6}"/>
  <tableColumns count="7">
    <tableColumn id="1" xr3:uid="{1D7FF1BF-5B56-4C92-901B-6E49280C683B}" name="Total ID" dataDxfId="5"/>
    <tableColumn id="2" xr3:uid="{8D4FFE92-5B91-4985-9C09-C72C1D866E95}" name="Data" dataDxfId="4"/>
    <tableColumn id="3" xr3:uid="{36667841-4876-46DB-AFED-510C4F1EE614}" name="Descrição Serviço"/>
    <tableColumn id="4" xr3:uid="{2EA4C8FD-66C9-4825-9AF0-23C6DB105477}" name="Tipo" dataDxfId="3"/>
    <tableColumn id="5" xr3:uid="{050738B5-1A13-4E9B-8E3D-23FC7B8815EB}" name="Valor" dataDxfId="2"/>
    <tableColumn id="6" xr3:uid="{8DA32166-E7ED-413D-8866-70AB661C0DA2}" name="Mês " dataDxfId="1"/>
    <tableColumn id="7" xr3:uid="{640C5461-E17C-45F9-836B-5CFB5936E663}" name="An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12C0D-B50F-4953-8713-11AA4F56F7BE}">
  <sheetPr codeName="Planilha1">
    <tabColor theme="8" tint="-0.499984740745262"/>
  </sheetPr>
  <dimension ref="A1:Z32"/>
  <sheetViews>
    <sheetView tabSelected="1" topLeftCell="A2" zoomScale="140" zoomScaleNormal="140" workbookViewId="0">
      <selection activeCell="B4" sqref="B4:E4"/>
    </sheetView>
  </sheetViews>
  <sheetFormatPr defaultRowHeight="15" x14ac:dyDescent="0.25"/>
  <cols>
    <col min="1" max="1" width="17.7109375" customWidth="1"/>
    <col min="2" max="2" width="18.140625" customWidth="1"/>
    <col min="5" max="5" width="8.28515625" customWidth="1"/>
  </cols>
  <sheetData>
    <row r="1" spans="1:26" ht="26.25" x14ac:dyDescent="0.4">
      <c r="A1" s="22" t="s">
        <v>38</v>
      </c>
      <c r="B1" s="22"/>
      <c r="C1" s="22"/>
      <c r="D1" s="22"/>
      <c r="E1" s="22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7.25" customHeight="1" x14ac:dyDescent="0.25">
      <c r="A2" s="23" t="s">
        <v>42</v>
      </c>
      <c r="B2" s="23"/>
      <c r="C2" s="23"/>
      <c r="D2" s="23"/>
      <c r="E2" s="23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15.75" x14ac:dyDescent="0.25">
      <c r="A3" s="14" t="s">
        <v>40</v>
      </c>
      <c r="B3" s="24">
        <f>MAX(Banco_de_Dados!A:A)+1</f>
        <v>2</v>
      </c>
      <c r="C3" s="24"/>
      <c r="D3" s="24"/>
      <c r="E3" s="24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15.75" x14ac:dyDescent="0.25">
      <c r="A4" s="14" t="s">
        <v>0</v>
      </c>
      <c r="B4" s="25"/>
      <c r="C4" s="25"/>
      <c r="D4" s="25"/>
      <c r="E4" s="25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15.75" x14ac:dyDescent="0.25">
      <c r="A5" s="14" t="s">
        <v>41</v>
      </c>
      <c r="B5" s="26"/>
      <c r="C5" s="26"/>
      <c r="D5" s="26"/>
      <c r="E5" s="2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ht="15.75" x14ac:dyDescent="0.25">
      <c r="A6" s="14" t="s">
        <v>34</v>
      </c>
      <c r="B6" s="19"/>
      <c r="C6" s="20"/>
      <c r="D6" s="20"/>
      <c r="E6" s="21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ht="15.75" x14ac:dyDescent="0.25">
      <c r="A7" s="14" t="s">
        <v>1</v>
      </c>
      <c r="B7" s="18"/>
      <c r="C7" s="18"/>
      <c r="D7" s="18"/>
      <c r="E7" s="18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5">
      <c r="A8" s="16"/>
      <c r="B8" s="17"/>
      <c r="C8" s="17"/>
      <c r="D8" s="17"/>
      <c r="E8" s="17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5">
      <c r="A9" s="16"/>
      <c r="B9" s="17"/>
      <c r="C9" s="17"/>
      <c r="D9" s="17"/>
      <c r="E9" s="17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</sheetData>
  <mergeCells count="7">
    <mergeCell ref="B7:E7"/>
    <mergeCell ref="B6:E6"/>
    <mergeCell ref="A1:E1"/>
    <mergeCell ref="A2:E2"/>
    <mergeCell ref="B3:E3"/>
    <mergeCell ref="B4:E4"/>
    <mergeCell ref="B5:E5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3AE2D7-C52D-4156-95D5-28A2DD22EB43}">
          <x14:formula1>
            <xm:f>OFFSET(Auxiliar!$B$19,1,,COUNTA(Auxiliar!B:B))</xm:f>
          </x14:formula1>
          <xm:sqref>B6:E6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BDFC0-7105-45AA-9885-020C8404D202}">
  <sheetPr codeName="Planilha2">
    <tabColor theme="8" tint="0.79998168889431442"/>
  </sheetPr>
  <dimension ref="A1:G2"/>
  <sheetViews>
    <sheetView workbookViewId="0">
      <selection activeCell="A2" sqref="A2"/>
    </sheetView>
  </sheetViews>
  <sheetFormatPr defaultRowHeight="15" x14ac:dyDescent="0.25"/>
  <cols>
    <col min="1" max="1" width="12.28515625" style="15" bestFit="1" customWidth="1"/>
    <col min="2" max="2" width="10.7109375" style="1" bestFit="1" customWidth="1"/>
    <col min="3" max="3" width="23.5703125" bestFit="1" customWidth="1"/>
    <col min="4" max="4" width="18.7109375" style="12" bestFit="1" customWidth="1"/>
    <col min="5" max="5" width="10.7109375" style="2" bestFit="1" customWidth="1"/>
    <col min="6" max="7" width="9.140625" style="12"/>
  </cols>
  <sheetData>
    <row r="1" spans="1:7" x14ac:dyDescent="0.25">
      <c r="A1" s="15" t="s">
        <v>40</v>
      </c>
      <c r="B1" s="1" t="s">
        <v>0</v>
      </c>
      <c r="C1" t="s">
        <v>41</v>
      </c>
      <c r="D1" s="12" t="s">
        <v>34</v>
      </c>
      <c r="E1" s="2" t="s">
        <v>1</v>
      </c>
      <c r="F1" s="12" t="s">
        <v>2</v>
      </c>
      <c r="G1" s="12" t="s">
        <v>3</v>
      </c>
    </row>
    <row r="2" spans="1:7" x14ac:dyDescent="0.25">
      <c r="A2" s="15">
        <v>1</v>
      </c>
      <c r="B2" s="1">
        <v>43497</v>
      </c>
      <c r="C2" t="s">
        <v>6</v>
      </c>
      <c r="D2" s="12" t="s">
        <v>6</v>
      </c>
      <c r="E2" s="2">
        <v>10</v>
      </c>
      <c r="F2" s="12">
        <f>MONTH(banco_de_dados[[#This Row],[Data]])</f>
        <v>2</v>
      </c>
      <c r="G2" s="12">
        <f>YEAR(banco_de_dados[[#This Row],[Data]])</f>
        <v>2019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4EAF-26A7-4C61-88EA-005DC00E26B2}">
  <sheetPr codeName="Planilha3">
    <tabColor theme="8" tint="0.59999389629810485"/>
  </sheetPr>
  <dimension ref="A1:J32"/>
  <sheetViews>
    <sheetView topLeftCell="A4" zoomScale="120" zoomScaleNormal="120" workbookViewId="0">
      <selection activeCell="E37" sqref="E37"/>
    </sheetView>
  </sheetViews>
  <sheetFormatPr defaultRowHeight="15" x14ac:dyDescent="0.25"/>
  <cols>
    <col min="2" max="2" width="10" bestFit="1" customWidth="1"/>
    <col min="3" max="3" width="11.85546875" bestFit="1" customWidth="1"/>
    <col min="4" max="4" width="11.5703125" bestFit="1" customWidth="1"/>
    <col min="5" max="5" width="9.42578125" bestFit="1" customWidth="1"/>
    <col min="7" max="7" width="12.28515625" bestFit="1" customWidth="1"/>
  </cols>
  <sheetData>
    <row r="1" spans="1:10" x14ac:dyDescent="0.25">
      <c r="A1" s="3"/>
      <c r="B1" s="4" t="s">
        <v>10</v>
      </c>
      <c r="C1" s="4" t="s">
        <v>3</v>
      </c>
      <c r="D1" s="4" t="s">
        <v>10</v>
      </c>
      <c r="E1" s="4" t="s">
        <v>11</v>
      </c>
    </row>
    <row r="2" spans="1:10" x14ac:dyDescent="0.25">
      <c r="A2" s="3"/>
      <c r="B2" s="5">
        <v>2</v>
      </c>
      <c r="C2" s="6">
        <f>INDEX(listaAnos,indiceAno)</f>
        <v>2020</v>
      </c>
      <c r="D2" s="5">
        <v>4</v>
      </c>
      <c r="E2" s="6" t="str">
        <f>INDEX(listaMeses,indiceMes)</f>
        <v>Abril</v>
      </c>
    </row>
    <row r="4" spans="1:10" x14ac:dyDescent="0.25">
      <c r="A4" s="29" t="s">
        <v>27</v>
      </c>
      <c r="B4" s="29"/>
      <c r="C4" s="29"/>
      <c r="D4" s="29"/>
      <c r="E4" s="29"/>
    </row>
    <row r="5" spans="1:10" x14ac:dyDescent="0.25">
      <c r="A5" s="7" t="s">
        <v>13</v>
      </c>
      <c r="B5" s="7" t="s">
        <v>10</v>
      </c>
      <c r="C5" s="7" t="s">
        <v>14</v>
      </c>
      <c r="D5" s="7" t="s">
        <v>26</v>
      </c>
      <c r="E5" s="7"/>
    </row>
    <row r="6" spans="1:10" x14ac:dyDescent="0.25">
      <c r="A6" s="8">
        <v>2019</v>
      </c>
      <c r="B6" s="9">
        <v>1</v>
      </c>
      <c r="C6" s="10" t="s">
        <v>15</v>
      </c>
      <c r="D6" s="28">
        <f>IFERROR(SUMIFS(banco_de_dados[Valor],
banco_de_dados[Ano],Ano,
banco_de_dados[[Mês ]],B6),0)</f>
        <v>0</v>
      </c>
      <c r="E6" s="28"/>
    </row>
    <row r="7" spans="1:10" x14ac:dyDescent="0.25">
      <c r="A7" s="8">
        <v>2020</v>
      </c>
      <c r="B7" s="9">
        <v>2</v>
      </c>
      <c r="C7" s="10" t="s">
        <v>16</v>
      </c>
      <c r="D7" s="28">
        <f>IFERROR(SUMIFS(banco_de_dados[Valor],
banco_de_dados[Ano],Ano,
banco_de_dados[[Mês ]],B7),0)</f>
        <v>0</v>
      </c>
      <c r="E7" s="28"/>
    </row>
    <row r="8" spans="1:10" x14ac:dyDescent="0.25">
      <c r="A8" s="8">
        <v>2021</v>
      </c>
      <c r="B8" s="9">
        <v>3</v>
      </c>
      <c r="C8" s="10" t="s">
        <v>17</v>
      </c>
      <c r="D8" s="28">
        <f>IFERROR(SUMIFS(banco_de_dados[Valor],
banco_de_dados[Ano],Ano,
banco_de_dados[[Mês ]],B8),0)</f>
        <v>0</v>
      </c>
      <c r="E8" s="28"/>
    </row>
    <row r="9" spans="1:10" x14ac:dyDescent="0.25">
      <c r="A9" s="8">
        <v>2022</v>
      </c>
      <c r="B9" s="9">
        <v>4</v>
      </c>
      <c r="C9" s="10" t="s">
        <v>12</v>
      </c>
      <c r="D9" s="28">
        <f>IFERROR(SUMIFS(banco_de_dados[Valor],
banco_de_dados[Ano],Ano,
banco_de_dados[[Mês ]],B9),0)</f>
        <v>0</v>
      </c>
      <c r="E9" s="28"/>
      <c r="G9" s="36" t="str">
        <f>Mes</f>
        <v>Abril</v>
      </c>
      <c r="H9" s="36"/>
      <c r="I9" s="36">
        <f>Ano</f>
        <v>2020</v>
      </c>
      <c r="J9" s="36"/>
    </row>
    <row r="10" spans="1:10" x14ac:dyDescent="0.25">
      <c r="A10" s="8"/>
      <c r="B10" s="9">
        <v>5</v>
      </c>
      <c r="C10" s="10" t="s">
        <v>18</v>
      </c>
      <c r="D10" s="28">
        <f>IFERROR(SUMIFS(banco_de_dados[Valor],
banco_de_dados[Ano],Ano,
banco_de_dados[[Mês ]],B10),0)</f>
        <v>0</v>
      </c>
      <c r="E10" s="28"/>
      <c r="G10" s="36"/>
      <c r="H10" s="36"/>
      <c r="I10" s="36"/>
      <c r="J10" s="36"/>
    </row>
    <row r="11" spans="1:10" x14ac:dyDescent="0.25">
      <c r="A11" s="8"/>
      <c r="B11" s="9">
        <v>6</v>
      </c>
      <c r="C11" s="10" t="s">
        <v>19</v>
      </c>
      <c r="D11" s="28">
        <f>IFERROR(SUMIFS(banco_de_dados[Valor],
banco_de_dados[Ano],Ano,
banco_de_dados[[Mês ]],B11),0)</f>
        <v>0</v>
      </c>
      <c r="E11" s="28"/>
    </row>
    <row r="12" spans="1:10" x14ac:dyDescent="0.25">
      <c r="A12" s="8"/>
      <c r="B12" s="9">
        <v>7</v>
      </c>
      <c r="C12" s="10" t="s">
        <v>20</v>
      </c>
      <c r="D12" s="28">
        <f>IFERROR(SUMIFS(banco_de_dados[Valor],
banco_de_dados[Ano],Ano,
banco_de_dados[[Mês ]],B12),0)</f>
        <v>0</v>
      </c>
      <c r="E12" s="28"/>
    </row>
    <row r="13" spans="1:10" x14ac:dyDescent="0.25">
      <c r="A13" s="8"/>
      <c r="B13" s="9">
        <v>8</v>
      </c>
      <c r="C13" s="10" t="s">
        <v>21</v>
      </c>
      <c r="D13" s="28">
        <f>IFERROR(SUMIFS(banco_de_dados[Valor],
banco_de_dados[Ano],Ano,
banco_de_dados[[Mês ]],B13),0)</f>
        <v>0</v>
      </c>
      <c r="E13" s="28"/>
    </row>
    <row r="14" spans="1:10" x14ac:dyDescent="0.25">
      <c r="A14" s="8"/>
      <c r="B14" s="9">
        <v>9</v>
      </c>
      <c r="C14" s="10" t="s">
        <v>22</v>
      </c>
      <c r="D14" s="28">
        <f>IFERROR(SUMIFS(banco_de_dados[Valor],
banco_de_dados[Ano],Ano,
banco_de_dados[[Mês ]],B14),0)</f>
        <v>0</v>
      </c>
      <c r="E14" s="28"/>
    </row>
    <row r="15" spans="1:10" x14ac:dyDescent="0.25">
      <c r="A15" s="8"/>
      <c r="B15" s="9">
        <v>10</v>
      </c>
      <c r="C15" s="10" t="s">
        <v>23</v>
      </c>
      <c r="D15" s="28">
        <f>IFERROR(SUMIFS(banco_de_dados[Valor],
banco_de_dados[Ano],Ano,
banco_de_dados[[Mês ]],B15),0)</f>
        <v>0</v>
      </c>
      <c r="E15" s="28"/>
    </row>
    <row r="16" spans="1:10" x14ac:dyDescent="0.25">
      <c r="A16" s="8"/>
      <c r="B16" s="9">
        <v>11</v>
      </c>
      <c r="C16" s="10" t="s">
        <v>24</v>
      </c>
      <c r="D16" s="28">
        <f>IFERROR(SUMIFS(banco_de_dados[Valor],
banco_de_dados[Ano],Ano,
banco_de_dados[[Mês ]],B16),0)</f>
        <v>0</v>
      </c>
      <c r="E16" s="28"/>
    </row>
    <row r="17" spans="1:8" x14ac:dyDescent="0.25">
      <c r="A17" s="8"/>
      <c r="B17" s="9">
        <v>12</v>
      </c>
      <c r="C17" s="10" t="s">
        <v>25</v>
      </c>
      <c r="D17" s="28">
        <f>IFERROR(SUMIFS(banco_de_dados[Valor],
banco_de_dados[Ano],Ano,
banco_de_dados[[Mês ]],B17),0)</f>
        <v>0</v>
      </c>
      <c r="E17" s="28"/>
    </row>
    <row r="19" spans="1:8" x14ac:dyDescent="0.25">
      <c r="A19" s="29" t="s">
        <v>28</v>
      </c>
      <c r="B19" s="29"/>
      <c r="C19" s="29"/>
      <c r="E19" s="33" t="s">
        <v>36</v>
      </c>
      <c r="F19" s="33"/>
      <c r="G19" s="33"/>
      <c r="H19" s="33"/>
    </row>
    <row r="20" spans="1:8" x14ac:dyDescent="0.25">
      <c r="A20" s="11">
        <v>1</v>
      </c>
      <c r="B20" s="28" t="s">
        <v>39</v>
      </c>
      <c r="C20" s="28"/>
      <c r="E20" s="31" t="s">
        <v>4</v>
      </c>
      <c r="F20" s="32"/>
      <c r="G20" s="34">
        <f>IFERROR(SUMIFS(banco_de_dados[Valor],
banco_de_dados[Ano],Ano,
banco_de_dados[[Mês ]],indiceMes,
banco_de_dados[Tipo],B20),0)</f>
        <v>0</v>
      </c>
      <c r="H20" s="35"/>
    </row>
    <row r="21" spans="1:8" x14ac:dyDescent="0.25">
      <c r="A21" s="11">
        <v>2</v>
      </c>
      <c r="B21" s="27" t="s">
        <v>5</v>
      </c>
      <c r="C21" s="27"/>
      <c r="E21" s="30" t="s">
        <v>5</v>
      </c>
      <c r="F21" s="30"/>
      <c r="G21" s="34">
        <f>IFERROR(SUMIFS(banco_de_dados[Valor],
banco_de_dados[Ano],Ano,
banco_de_dados[[Mês ]],indiceMes,
banco_de_dados[Tipo],B21),0)</f>
        <v>0</v>
      </c>
      <c r="H21" s="35"/>
    </row>
    <row r="22" spans="1:8" x14ac:dyDescent="0.25">
      <c r="A22" s="11">
        <v>3</v>
      </c>
      <c r="B22" s="27" t="s">
        <v>29</v>
      </c>
      <c r="C22" s="27"/>
      <c r="E22" s="30" t="s">
        <v>29</v>
      </c>
      <c r="F22" s="30"/>
      <c r="G22" s="34">
        <f>IFERROR(SUMIFS(banco_de_dados[Valor],
banco_de_dados[Ano],Ano,
banco_de_dados[[Mês ]],indiceMes,
banco_de_dados[Tipo],B22),0)</f>
        <v>0</v>
      </c>
      <c r="H22" s="35"/>
    </row>
    <row r="23" spans="1:8" x14ac:dyDescent="0.25">
      <c r="A23" s="11">
        <v>4</v>
      </c>
      <c r="B23" s="27" t="s">
        <v>31</v>
      </c>
      <c r="C23" s="27"/>
      <c r="E23" s="30" t="s">
        <v>31</v>
      </c>
      <c r="F23" s="30"/>
      <c r="G23" s="34">
        <f>IFERROR(SUMIFS(banco_de_dados[Valor],
banco_de_dados[Ano],Ano,
banco_de_dados[[Mês ]],indiceMes,
banco_de_dados[Tipo],B23),0)</f>
        <v>0</v>
      </c>
      <c r="H23" s="35"/>
    </row>
    <row r="24" spans="1:8" x14ac:dyDescent="0.25">
      <c r="A24" s="11">
        <v>5</v>
      </c>
      <c r="B24" s="27" t="s">
        <v>30</v>
      </c>
      <c r="C24" s="27"/>
      <c r="E24" s="30" t="s">
        <v>30</v>
      </c>
      <c r="F24" s="30"/>
      <c r="G24" s="34">
        <f>IFERROR(SUMIFS(banco_de_dados[Valor],
banco_de_dados[Ano],Ano,
banco_de_dados[[Mês ]],indiceMes,
banco_de_dados[Tipo],B24),0)</f>
        <v>0</v>
      </c>
      <c r="H24" s="35"/>
    </row>
    <row r="25" spans="1:8" x14ac:dyDescent="0.25">
      <c r="A25" s="11">
        <v>6</v>
      </c>
      <c r="B25" s="27" t="s">
        <v>32</v>
      </c>
      <c r="C25" s="27"/>
      <c r="E25" s="30" t="s">
        <v>32</v>
      </c>
      <c r="F25" s="30"/>
      <c r="G25" s="34">
        <f>IFERROR(SUMIFS(banco_de_dados[Valor],
banco_de_dados[Ano],Ano,
banco_de_dados[[Mês ]],indiceMes,
banco_de_dados[Tipo],B25),0)</f>
        <v>0</v>
      </c>
      <c r="H25" s="35"/>
    </row>
    <row r="26" spans="1:8" x14ac:dyDescent="0.25">
      <c r="A26" s="11">
        <v>7</v>
      </c>
      <c r="B26" s="27" t="s">
        <v>6</v>
      </c>
      <c r="C26" s="27"/>
      <c r="E26" s="30" t="s">
        <v>6</v>
      </c>
      <c r="F26" s="30"/>
      <c r="G26" s="34">
        <f>IFERROR(SUMIFS(banco_de_dados[Valor],
banco_de_dados[Ano],Ano,
banco_de_dados[[Mês ]],indiceMes,
banco_de_dados[Tipo],B26),0)</f>
        <v>0</v>
      </c>
      <c r="H26" s="35"/>
    </row>
    <row r="27" spans="1:8" x14ac:dyDescent="0.25">
      <c r="A27" s="11">
        <v>8</v>
      </c>
      <c r="B27" s="27" t="s">
        <v>8</v>
      </c>
      <c r="C27" s="27"/>
      <c r="E27" s="30" t="s">
        <v>8</v>
      </c>
      <c r="F27" s="30"/>
      <c r="G27" s="34">
        <f>IFERROR(SUMIFS(banco_de_dados[Valor],
banco_de_dados[Ano],Ano,
banco_de_dados[[Mês ]],indiceMes,
banco_de_dados[Tipo],B27),0)</f>
        <v>0</v>
      </c>
      <c r="H27" s="35"/>
    </row>
    <row r="28" spans="1:8" x14ac:dyDescent="0.25">
      <c r="A28" s="11">
        <v>9</v>
      </c>
      <c r="B28" s="27" t="s">
        <v>7</v>
      </c>
      <c r="C28" s="27"/>
      <c r="E28" s="30" t="s">
        <v>7</v>
      </c>
      <c r="F28" s="30"/>
      <c r="G28" s="34">
        <f>IFERROR(SUMIFS(banco_de_dados[Valor],
banco_de_dados[Ano],Ano,
banco_de_dados[[Mês ]],indiceMes,
banco_de_dados[Tipo],B28),0)</f>
        <v>0</v>
      </c>
      <c r="H28" s="35"/>
    </row>
    <row r="29" spans="1:8" x14ac:dyDescent="0.25">
      <c r="A29" s="11">
        <v>10</v>
      </c>
      <c r="B29" s="27" t="s">
        <v>35</v>
      </c>
      <c r="C29" s="27"/>
      <c r="E29" s="30" t="s">
        <v>35</v>
      </c>
      <c r="F29" s="30"/>
      <c r="G29" s="34">
        <f>IFERROR(SUMIFS(banco_de_dados[Valor],
banco_de_dados[Ano],Ano,
banco_de_dados[[Mês ]],indiceMes,
banco_de_dados[Tipo],B29),0)</f>
        <v>0</v>
      </c>
      <c r="H29" s="35"/>
    </row>
    <row r="30" spans="1:8" x14ac:dyDescent="0.25">
      <c r="A30" s="11">
        <v>11</v>
      </c>
      <c r="B30" s="27" t="s">
        <v>9</v>
      </c>
      <c r="C30" s="27"/>
      <c r="E30" s="30" t="s">
        <v>9</v>
      </c>
      <c r="F30" s="30"/>
      <c r="G30" s="34">
        <f>IFERROR(SUMIFS(banco_de_dados[Valor],
banco_de_dados[Ano],Ano,
banco_de_dados[[Mês ]],indiceMes,
banco_de_dados[Tipo],B30),0)</f>
        <v>0</v>
      </c>
      <c r="H30" s="35"/>
    </row>
    <row r="31" spans="1:8" x14ac:dyDescent="0.25">
      <c r="A31" s="11">
        <v>12</v>
      </c>
      <c r="B31" s="27" t="s">
        <v>33</v>
      </c>
      <c r="C31" s="27"/>
      <c r="E31" s="30" t="s">
        <v>33</v>
      </c>
      <c r="F31" s="30"/>
      <c r="G31" s="34">
        <f>IFERROR(SUMIFS(banco_de_dados[Valor],
banco_de_dados[Ano],Ano,
banco_de_dados[[Mês ]],indiceMes,
banco_de_dados[Tipo],B31),0)</f>
        <v>0</v>
      </c>
      <c r="H31" s="35"/>
    </row>
    <row r="32" spans="1:8" x14ac:dyDescent="0.25">
      <c r="F32" s="13" t="s">
        <v>37</v>
      </c>
      <c r="G32" s="37">
        <f>SUM(G20:H31)</f>
        <v>0</v>
      </c>
      <c r="H32" s="38"/>
    </row>
  </sheetData>
  <sheetProtection algorithmName="SHA-512" hashValue="CeEle6eWu7hXruWYjzTlv/ineZ4+acmacuBuO7uCJ0ji9izgFcHW4DhgwbgKBkqofSSD24Bo/Y60E5PLlWP6Hg==" saltValue="FCnEp+WgVubK+SBMunmiUQ==" spinCount="100000" sheet="1" objects="1" scenarios="1"/>
  <mergeCells count="54">
    <mergeCell ref="G30:H30"/>
    <mergeCell ref="G31:H31"/>
    <mergeCell ref="G9:H10"/>
    <mergeCell ref="I9:J10"/>
    <mergeCell ref="G32:H32"/>
    <mergeCell ref="E28:F28"/>
    <mergeCell ref="E29:F29"/>
    <mergeCell ref="E30:F30"/>
    <mergeCell ref="E31:F31"/>
    <mergeCell ref="E19:H19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G29:H29"/>
    <mergeCell ref="E23:F23"/>
    <mergeCell ref="E24:F24"/>
    <mergeCell ref="E25:F25"/>
    <mergeCell ref="E26:F26"/>
    <mergeCell ref="E27:F27"/>
    <mergeCell ref="E20:F20"/>
    <mergeCell ref="E21:F21"/>
    <mergeCell ref="E22:F22"/>
    <mergeCell ref="D16:E16"/>
    <mergeCell ref="D17:E17"/>
    <mergeCell ref="A19:C19"/>
    <mergeCell ref="B20:C20"/>
    <mergeCell ref="A4:E4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B21:C21"/>
    <mergeCell ref="B22:C22"/>
    <mergeCell ref="B23:C23"/>
    <mergeCell ref="B24:C24"/>
    <mergeCell ref="B25:C25"/>
    <mergeCell ref="B31:C31"/>
    <mergeCell ref="B26:C26"/>
    <mergeCell ref="B27:C27"/>
    <mergeCell ref="B28:C28"/>
    <mergeCell ref="B29:C29"/>
    <mergeCell ref="B30:C30"/>
  </mergeCells>
  <phoneticPr fontId="4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8D94-1AED-4EC8-A80E-5A0E33B7901B}">
  <sheetPr codeName="Planilha4">
    <tabColor rgb="FF0070C0"/>
  </sheetPr>
  <dimension ref="A1"/>
  <sheetViews>
    <sheetView showGridLines="0" workbookViewId="0">
      <selection activeCell="W15" sqref="W15"/>
    </sheetView>
  </sheetViews>
  <sheetFormatPr defaultRowHeight="15" x14ac:dyDescent="0.25"/>
  <sheetData/>
  <sheetProtection algorithmName="SHA-512" hashValue="NynYi/NTU7T4I/xQCLTlbFa8jU6OJqRL52XWbkmbDIu5iP+I03Os77fBs2P1hLO/r7I6pDKD3z+iaOj0MAK7xA==" saltValue="xYhqCCw+ECGJrKp2+nc6Og==" spinCount="100000" sheet="1" objects="1" scenario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Drop Down 4">
              <controlPr defaultSize="0" autoLine="0" autoPict="0">
                <anchor moveWithCells="1">
                  <from>
                    <xdr:col>15</xdr:col>
                    <xdr:colOff>390525</xdr:colOff>
                    <xdr:row>0</xdr:row>
                    <xdr:rowOff>28575</xdr:rowOff>
                  </from>
                  <to>
                    <xdr:col>16</xdr:col>
                    <xdr:colOff>600075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Drop Down 5">
              <controlPr defaultSize="0" autoLine="0" autoPict="0">
                <anchor moveWithCells="1">
                  <from>
                    <xdr:col>12</xdr:col>
                    <xdr:colOff>295275</xdr:colOff>
                    <xdr:row>0</xdr:row>
                    <xdr:rowOff>28575</xdr:rowOff>
                  </from>
                  <to>
                    <xdr:col>15</xdr:col>
                    <xdr:colOff>314325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8</vt:i4>
      </vt:variant>
    </vt:vector>
  </HeadingPairs>
  <TitlesOfParts>
    <vt:vector size="12" baseType="lpstr">
      <vt:lpstr>Entrada</vt:lpstr>
      <vt:lpstr>Banco_de_Dados</vt:lpstr>
      <vt:lpstr>Auxiliar</vt:lpstr>
      <vt:lpstr>DashBoard</vt:lpstr>
      <vt:lpstr>Ano</vt:lpstr>
      <vt:lpstr>indiceAno</vt:lpstr>
      <vt:lpstr>indiceContas</vt:lpstr>
      <vt:lpstr>indiceMes</vt:lpstr>
      <vt:lpstr>listaAnos</vt:lpstr>
      <vt:lpstr>listaContas</vt:lpstr>
      <vt:lpstr>listaMeses</vt:lpstr>
      <vt:lpstr>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SANCHES</dc:creator>
  <cp:lastModifiedBy>EDUARDO SANCHES</cp:lastModifiedBy>
  <dcterms:created xsi:type="dcterms:W3CDTF">2020-08-28T19:28:14Z</dcterms:created>
  <dcterms:modified xsi:type="dcterms:W3CDTF">2020-09-01T21:10:40Z</dcterms:modified>
</cp:coreProperties>
</file>